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680" activeTab="8"/>
  </bookViews>
  <sheets>
    <sheet name="使用说明" sheetId="1" r:id="rId1"/>
    <sheet name="知识点库" sheetId="2" r:id="rId2"/>
    <sheet name="题型库" sheetId="3" r:id="rId3"/>
    <sheet name="错因库" sheetId="4" r:id="rId4"/>
    <sheet name="题库样本" sheetId="5" r:id="rId5"/>
    <sheet name="诊断规则库" sheetId="6" r:id="rId6"/>
    <sheet name="AI输出格式" sheetId="7" r:id="rId7"/>
    <sheet name="Prompt模板" sheetId="8" r:id="rId8"/>
    <sheet name="模板总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<sst xmlns="http://schemas.openxmlformats.org/spreadsheetml/2006/main" count="518" uniqueCount="380">
  <si>
    <t>高中数学AI题库模板 v1</t>
  </si>
  <si>
    <t>建议先用本模板整理导数模块，再扩展到函数、数列、解析几何等模块。</t>
  </si>
  <si>
    <t>项目</t>
  </si>
  <si>
    <t>内容</t>
  </si>
  <si>
    <t>用途</t>
  </si>
  <si>
    <t>把高中数学知识点、题型、错因、题目、诊断规则结构化，让AI能识别题目并给出稳定的学习建议。</t>
  </si>
  <si>
    <t>AI识别流程</t>
  </si>
  <si>
    <t>题目/学生答案 → 识别知识点ID、题型ID、错因ID → 检索规则 → 生成解析和学习建议 → 更新学生画像。</t>
  </si>
  <si>
    <t>ID规则</t>
  </si>
  <si>
    <t>K=知识点，T=题型，E=错因，Q=题目，R=规则。ID稳定后不要随意改名。</t>
  </si>
  <si>
    <t>第一步建议</t>
  </si>
  <si>
    <t>先从导数模块试点：20个知识点、15个题型、15个错因、100道题。</t>
  </si>
  <si>
    <t>重点</t>
  </si>
  <si>
    <t>题库不是只存题干，必须给每道题打知识点ID、题型ID、错因ID、难度、年级。</t>
  </si>
  <si>
    <t>知识点库</t>
  </si>
  <si>
    <t>定义高中数学“学什么”。AI识别题目时应优先匹配知识点ID，并基于掌握标准和补弱建议生成学习建议。</t>
  </si>
  <si>
    <t>知识点ID</t>
  </si>
  <si>
    <t>一级模块</t>
  </si>
  <si>
    <t>二级模块</t>
  </si>
  <si>
    <t>三级知识点</t>
  </si>
  <si>
    <t>适用年级</t>
  </si>
  <si>
    <t>难度1-5</t>
  </si>
  <si>
    <t>前置知识点ID</t>
  </si>
  <si>
    <t>常见错因ID</t>
  </si>
  <si>
    <t>掌握标准</t>
  </si>
  <si>
    <t>补弱建议</t>
  </si>
  <si>
    <t>AI识别关键词</t>
  </si>
  <si>
    <t>备注</t>
  </si>
  <si>
    <t>K_FUNC_001</t>
  </si>
  <si>
    <t>函数</t>
  </si>
  <si>
    <t>函数基础</t>
  </si>
  <si>
    <t>定义域</t>
  </si>
  <si>
    <t>高一</t>
  </si>
  <si>
    <t/>
  </si>
  <si>
    <t>E_REVIEW_001</t>
  </si>
  <si>
    <t>能根据解析式中的分母、根号、对数等限制求定义域</t>
  </si>
  <si>
    <t>先练分母不为0、根号内非负、对数真数大于0三类基础题</t>
  </si>
  <si>
    <t>定义域；x的取值范围；函数有意义；根号；分母；对数真数</t>
  </si>
  <si>
    <t>基础前置点</t>
  </si>
  <si>
    <t>K_FUNC_002</t>
  </si>
  <si>
    <t>函数性质</t>
  </si>
  <si>
    <t>单调性</t>
  </si>
  <si>
    <t>高一/高二</t>
  </si>
  <si>
    <t>E_FUNC_002,E_INTERVAL_001</t>
  </si>
  <si>
    <t>能用图像、定义法或导数判断单调递增/递减区间</t>
  </si>
  <si>
    <t>先练定义域与区间表达，再练导数符号判断</t>
  </si>
  <si>
    <t>单调区间；递增；递减；增函数；减函数；f'(x)&gt;0</t>
  </si>
  <si>
    <t>与导数题型强关联</t>
  </si>
  <si>
    <t>K_DERIV_001</t>
  </si>
  <si>
    <t>导数</t>
  </si>
  <si>
    <t>导数基础</t>
  </si>
  <si>
    <t>求导运算</t>
  </si>
  <si>
    <t>高二/高三</t>
  </si>
  <si>
    <t>E_FORMULA_001,E_CALC_001</t>
  </si>
  <si>
    <t>能正确求多项式、指数、对数、复合函数的导数</t>
  </si>
  <si>
    <t>先背基本求导公式，再练乘除法和复合函数链式法则</t>
  </si>
  <si>
    <t>求导；f'(x)；导函数；导数公式；链式法则</t>
  </si>
  <si>
    <t>导数所有题型前置</t>
  </si>
  <si>
    <t>K_DERIV_002</t>
  </si>
  <si>
    <t>导数应用</t>
  </si>
  <si>
    <t>利用导数判断单调性</t>
  </si>
  <si>
    <t>K_DERIV_001,K_FUNC_002</t>
  </si>
  <si>
    <t>E_DERIV_003,E_INTERVAL_001</t>
  </si>
  <si>
    <t>能通过 f'(x) 正负判断函数单调区间，并规范书写</t>
  </si>
  <si>
    <t>先练导数为二次式的符号表，再做含参数单调性题</t>
  </si>
  <si>
    <t>导数判断单调性；f'(x)&gt;0；f'(x)&lt;0；临界点；符号表</t>
  </si>
  <si>
    <t>高频考点</t>
  </si>
  <si>
    <t>K_DERIV_003</t>
  </si>
  <si>
    <t>极值与最值</t>
  </si>
  <si>
    <t>E_DERIV_004,E_SCOPE_001</t>
  </si>
  <si>
    <t>能通过导数符号变化判断极大/极小，并结合区间求最值</t>
  </si>
  <si>
    <t>先区分极值和最值，再练闭区间最值题</t>
  </si>
  <si>
    <t>极值；最值；最大值；最小值；驻点；端点值</t>
  </si>
  <si>
    <t>易与单调性混淆</t>
  </si>
  <si>
    <t>K_DERIV_004</t>
  </si>
  <si>
    <t>导数综合</t>
  </si>
  <si>
    <t>恒成立问题</t>
  </si>
  <si>
    <t>高三</t>
  </si>
  <si>
    <t>K_DERIV_003,K_INEQ_001</t>
  </si>
  <si>
    <t>E_METHOD_002,E_DISCUSS_001</t>
  </si>
  <si>
    <t>能将恒成立转化为最值或参数范围问题</t>
  </si>
  <si>
    <t>先练不含参数最值，再练单参数恒成立</t>
  </si>
  <si>
    <t>恒成立；任意x；参数范围；不等式恒成立；最值法</t>
  </si>
  <si>
    <t>高三综合题</t>
  </si>
  <si>
    <t>K_SEQ_001</t>
  </si>
  <si>
    <t>数列</t>
  </si>
  <si>
    <t>等差等比</t>
  </si>
  <si>
    <t>等差数列基础</t>
  </si>
  <si>
    <t>E_FORMULA_002,E_CALC_001</t>
  </si>
  <si>
    <t>能识别等差数列并使用通项、前n项和公式</t>
  </si>
  <si>
    <t>先区分等差和等比，再练公式代入</t>
  </si>
  <si>
    <t>等差数列；公差；通项公式；前n项和</t>
  </si>
  <si>
    <t>基础高频</t>
  </si>
  <si>
    <t>K_CONIC_001</t>
  </si>
  <si>
    <t>解析几何</t>
  </si>
  <si>
    <t>圆锥曲线</t>
  </si>
  <si>
    <t>椭圆标准方程</t>
  </si>
  <si>
    <t>K_COORD_001</t>
  </si>
  <si>
    <t>E_FORMULA_003,E_REVIEW_001</t>
  </si>
  <si>
    <t>能根据焦点、长短轴、离心率写出椭圆标准方程</t>
  </si>
  <si>
    <t>先熟悉 a,b,c 关系，再练焦点在x轴/y轴的判断</t>
  </si>
  <si>
    <t>椭圆；标准方程；焦点；离心率；a²=b²+c²</t>
  </si>
  <si>
    <t>解析几何基础点</t>
  </si>
  <si>
    <t>题型库</t>
  </si>
  <si>
    <t>定义高中数学“怎么考”。AI识别题目后要输出题型ID，用于选择标准解题步骤、评分点和推荐练习顺序。</t>
  </si>
  <si>
    <t>题型ID</t>
  </si>
  <si>
    <t>题型名称</t>
  </si>
  <si>
    <t>所属模块</t>
  </si>
  <si>
    <t>关联知识点ID</t>
  </si>
  <si>
    <t>典型问法/识别特征</t>
  </si>
  <si>
    <t>标准解题步骤</t>
  </si>
  <si>
    <t>评分点</t>
  </si>
  <si>
    <t>训练顺序</t>
  </si>
  <si>
    <t>T_DERIV_001</t>
  </si>
  <si>
    <t>利用导数求单调区间</t>
  </si>
  <si>
    <t>K_DERIV_001,K_DERIV_002,K_FUNC_002</t>
  </si>
  <si>
    <t>给定 f(x)，求单调递增/递减区间</t>
  </si>
  <si>
    <t>1.确定定义域；2.求导；3.令f'(x)=0找临界点；4.分区间判断符号；5.写单调区间</t>
  </si>
  <si>
    <t>定义域；求导；临界点；符号表；区间表达</t>
  </si>
  <si>
    <t>基础求导→符号表→无参单调性→含参单调性</t>
  </si>
  <si>
    <t>求单调区间；递增区间；递减区间；f'(x)&gt;0</t>
  </si>
  <si>
    <t>T_DERIV_002</t>
  </si>
  <si>
    <t>根据单调性求参数范围</t>
  </si>
  <si>
    <t>K_DERIV_002,K_DERIV_004</t>
  </si>
  <si>
    <t>已知函数在某区间单调，求参数a范围</t>
  </si>
  <si>
    <t>1.求导；2.将单调性转为f'(x)≥0或≤0；3.转化恒成立；4.求参数范围</t>
  </si>
  <si>
    <t>单调条件转化；恒成立；端点/最值；参数范围</t>
  </si>
  <si>
    <t>无参单调性→简单参数→恒成立</t>
  </si>
  <si>
    <t>已知单调；求a；参数范围；在区间上递增</t>
  </si>
  <si>
    <t>T_DERIV_003</t>
  </si>
  <si>
    <t>求极值与最值</t>
  </si>
  <si>
    <t>K_DERIV_002,K_DERIV_003</t>
  </si>
  <si>
    <t>求函数的极值、最大值、最小值</t>
  </si>
  <si>
    <t>1.求导；2.找驻点；3.判断导数符号变化；4.比较端点值和极值</t>
  </si>
  <si>
    <t>驻点；符号变化；极值判断；端点比较</t>
  </si>
  <si>
    <t>极值概念→闭区间最值→综合应用</t>
  </si>
  <si>
    <t>极值；最值；最大值；最小值；驻点</t>
  </si>
  <si>
    <t>T_FUNC_001</t>
  </si>
  <si>
    <t>函数定义域求解</t>
  </si>
  <si>
    <t>求函数解析式的定义域</t>
  </si>
  <si>
    <t>1.找限制条件；2.列不等式组；3.求交集；4.区间表示</t>
  </si>
  <si>
    <t>限制条件；不等式组；交集；区间表达</t>
  </si>
  <si>
    <t>E_REVIEW_001,E_INTERVAL_001</t>
  </si>
  <si>
    <t>分母→根号→对数→复合限制</t>
  </si>
  <si>
    <t>定义域；有意义；取值范围</t>
  </si>
  <si>
    <t>T_SEQ_001</t>
  </si>
  <si>
    <t>等差数列通项与求和</t>
  </si>
  <si>
    <t>给出若干项或条件，求通项或前n项和</t>
  </si>
  <si>
    <t>1.识别等差；2.求首项/公差；3.代公式；4.化简</t>
  </si>
  <si>
    <t>公差；通项；求和；代入</t>
  </si>
  <si>
    <t>公式识记→条件转化→综合应用</t>
  </si>
  <si>
    <t>等差数列；通项；前n项和</t>
  </si>
  <si>
    <t>T_CONIC_001</t>
  </si>
  <si>
    <t>根据焦点、离心率、轴长等求椭圆方程</t>
  </si>
  <si>
    <t>1.判断焦点轴；2.确定a,b,c；3.使用a²=b²+c²；4.写标准方程</t>
  </si>
  <si>
    <t>焦点位置；a,b,c关系；方程格式</t>
  </si>
  <si>
    <t>标准方程→参数关系→直线联立</t>
  </si>
  <si>
    <t>椭圆方程；焦点；离心率；标准方程</t>
  </si>
  <si>
    <t>错因库</t>
  </si>
  <si>
    <t>定义学生“为什么错”。AI不要只说基础薄弱，要尽量落到具体错因ID，并给出对应补救建议。</t>
  </si>
  <si>
    <t>错因ID</t>
  </si>
  <si>
    <t>错因大类</t>
  </si>
  <si>
    <t>错因名称</t>
  </si>
  <si>
    <t>表现形式</t>
  </si>
  <si>
    <t>判断依据</t>
  </si>
  <si>
    <t>补救建议</t>
  </si>
  <si>
    <t>概念理解错误</t>
  </si>
  <si>
    <t>忽略定义域/限制条件</t>
  </si>
  <si>
    <t>题目含根号、分母、对数或实际背景时，没有先写限制条件</t>
  </si>
  <si>
    <t>答案区间包含不合法取值；解题过程未出现定义域或限制条件</t>
  </si>
  <si>
    <t>先做定义域专项：分母不为0、根号非负、对数真数大于0</t>
  </si>
  <si>
    <t>忽略定义域；没有限制条件；取值范围错误</t>
  </si>
  <si>
    <t>E_FORMULA_001</t>
  </si>
  <si>
    <t>公式记忆错误</t>
  </si>
  <si>
    <t>求导公式错误</t>
  </si>
  <si>
    <t>多项式、指数、对数、三角函数或复合函数求导公式写错</t>
  </si>
  <si>
    <t>导数第一步错误，后续推导受影响</t>
  </si>
  <si>
    <t>建立基本求导公式卡片，每天练10道基础求导</t>
  </si>
  <si>
    <t>求导错；导数公式；链式法则错误</t>
  </si>
  <si>
    <t>E_CALC_001</t>
  </si>
  <si>
    <t>运算失误</t>
  </si>
  <si>
    <t>代数计算错误</t>
  </si>
  <si>
    <t>展开、合并同类项、移项、因式分解、符号处理出错</t>
  </si>
  <si>
    <t>思路正确但中间计算结果异常</t>
  </si>
  <si>
    <t>做慢一点，关键步骤写出中间式；专项练因式分解和符号判断</t>
  </si>
  <si>
    <t>K_DERIV_001,K_SEQ_001</t>
  </si>
  <si>
    <t>计算错误；符号错；展开错；移项错</t>
  </si>
  <si>
    <t>E_DERIV_003</t>
  </si>
  <si>
    <t>方法选择错误</t>
  </si>
  <si>
    <t>导数符号判断错误</t>
  </si>
  <si>
    <t>求导正确，但不能根据 f'(x) 正负判断函数增减</t>
  </si>
  <si>
    <t>单调区间写反；临界点找对但符号表错误</t>
  </si>
  <si>
    <t>先练二次函数/因式分解后的符号表，再练单调区间题</t>
  </si>
  <si>
    <t>K_DERIV_002,K_FUNC_002</t>
  </si>
  <si>
    <t>符号表；f'(x)&gt;0；单调区间写反</t>
  </si>
  <si>
    <t>E_DERIV_004</t>
  </si>
  <si>
    <t>极值与最值混淆</t>
  </si>
  <si>
    <t>把局部极值当成全局最值，或未比较端点值</t>
  </si>
  <si>
    <t>闭区间最值题只找驻点，不比较端点</t>
  </si>
  <si>
    <t>复习极值/最值区别，闭区间题必须比较端点值</t>
  </si>
  <si>
    <t>极值；最值；端点值；驻点</t>
  </si>
  <si>
    <t>E_INTERVAL_001</t>
  </si>
  <si>
    <t>表达不规范</t>
  </si>
  <si>
    <t>区间表达不规范</t>
  </si>
  <si>
    <t>把开区间、闭区间、并集、端点写错</t>
  </si>
  <si>
    <t>最终答案格式错误；临界点处符号表达不清</t>
  </si>
  <si>
    <t>用数轴/表格表达区间，答案统一使用区间符号</t>
  </si>
  <si>
    <t>K_FUNC_002,K_DERIV_002</t>
  </si>
  <si>
    <t>区间；端点；开闭区间；并集</t>
  </si>
  <si>
    <t>E_METHOD_002</t>
  </si>
  <si>
    <t>不会把条件转化为最值/恒成立</t>
  </si>
  <si>
    <t>遇到参数范围或恒成立题时，不知道转化方向</t>
  </si>
  <si>
    <t>题目出现“任意x”“恒成立”“参数范围”，学生无法建立不等式或最值模型</t>
  </si>
  <si>
    <t>先练“恒成立 ⇔ 最小值/最大值”转化模板</t>
  </si>
  <si>
    <t>恒成立；参数范围；转化最值</t>
  </si>
  <si>
    <t>E_DISCUSS_001</t>
  </si>
  <si>
    <t>分类讨论不完整</t>
  </si>
  <si>
    <t>参数分类遗漏</t>
  </si>
  <si>
    <t>含参数题只讨论部分情况，漏掉临界值或特殊情形</t>
  </si>
  <si>
    <t>答案缺少a=0、判别式为0、端点等特殊情况</t>
  </si>
  <si>
    <t>建立参数题检查清单：零点、端点、判别式、符号变化</t>
  </si>
  <si>
    <t>分类讨论；漏情况；临界值</t>
  </si>
  <si>
    <t>题库样本</t>
  </si>
  <si>
    <t>题目数据必须带标签。AI可通过题干和AI识别提示匹配知识点ID、题型ID、错因ID，再调用对应解析模板和诊断规则。</t>
  </si>
  <si>
    <t>题目ID</t>
  </si>
  <si>
    <t>题目来源</t>
  </si>
  <si>
    <t>题干</t>
  </si>
  <si>
    <t>标准答案</t>
  </si>
  <si>
    <t>标准解析</t>
  </si>
  <si>
    <t>适合测评</t>
  </si>
  <si>
    <t>推荐前置题ID</t>
  </si>
  <si>
    <t>推荐后续题ID</t>
  </si>
  <si>
    <t>AI识别提示</t>
  </si>
  <si>
    <t>AI输入拼接</t>
  </si>
  <si>
    <t>Q_DERIV_001</t>
  </si>
  <si>
    <t>自建样题</t>
  </si>
  <si>
    <t>高二</t>
  </si>
  <si>
    <t>已知函数 f(x)=x^3-3x^2+1，求函数 f(x) 的单调区间。</t>
  </si>
  <si>
    <t>递增区间为 (-∞,0) 和 (2,+∞)，递减区间为 (0,2)。</t>
  </si>
  <si>
    <t>定义域为R。f'(x)=3x^2-6x=3x(x-2)。令f'(x)=0得x=0或2。分区间判断符号：x&lt;0、x&gt;2时f'(x)&gt;0，0&lt;x&lt;2时f'(x)&lt;0。</t>
  </si>
  <si>
    <t>是</t>
  </si>
  <si>
    <t>Q_DERIV_002</t>
  </si>
  <si>
    <t>识别为导数求单调区间题，重点检查是否先求导、是否会做导数符号表、区间是否规范。</t>
  </si>
  <si>
    <t>已知函数 f(x)=x^3-3x^2+1，求 f(x) 在区间 [-1,3] 上的最大值和最小值。</t>
  </si>
  <si>
    <t>最大值为1，最小值为-3。</t>
  </si>
  <si>
    <t>f'(x)=3x(x-2)，临界点x=0,2。比较f(-1)=-3，f(0)=1，f(2)=-3，f(3)=1，所以最大值1，最小值-3。</t>
  </si>
  <si>
    <t>K_DERIV_001,K_DERIV_003</t>
  </si>
  <si>
    <t>E_DERIV_004,E_CALC_001</t>
  </si>
  <si>
    <t>Q_DERIV_003</t>
  </si>
  <si>
    <t>识别为导数最值题，重点检查是否比较端点值和临界点函数值。</t>
  </si>
  <si>
    <t>若函数 f(x)=x^3-3ax 在 R 上单调递增，求实数 a 的取值范围。</t>
  </si>
  <si>
    <t>a≤0。</t>
  </si>
  <si>
    <t>f'(x)=3x^2-3a。若f(x)在R上递增，则f'(x)≥0对任意x成立，即3x^2-3a≥0恒成立。因为x^2最小为0，所以-a≥0，a≤0。</t>
  </si>
  <si>
    <t>识别为已知单调性求参数范围，重点看能否转化为导数非负恒成立。</t>
  </si>
  <si>
    <t>Q_FUNC_001</t>
  </si>
  <si>
    <t>求函数 y=√(x-1)/(x-3) 的定义域。</t>
  </si>
  <si>
    <t>[1,3)∪(3,+∞)。</t>
  </si>
  <si>
    <t>要使函数有意义，需要x-1≥0且x-3≠0，所以x≥1且x≠3，定义域为[1,3)∪(3,+∞)。</t>
  </si>
  <si>
    <t>识别为函数定义域题，重点看是否同时考虑根号和分母限制。</t>
  </si>
  <si>
    <t>Q_SEQ_001</t>
  </si>
  <si>
    <t>等差数列 {a_n} 中，a_1=3，d=2，求 a_n 与 S_n。</t>
  </si>
  <si>
    <t>a_n=2n+1，S_n=n(n+2)。</t>
  </si>
  <si>
    <t>等差数列通项 a_n=a_1+(n-1)d=3+2n-2=2n+1。前n项和 S_n=n(a_1+a_n)/2=n(3+2n+1)/2=n(n+2)。</t>
  </si>
  <si>
    <t>识别为等差数列基础题，重点检查通项公式和求和公式。</t>
  </si>
  <si>
    <t>Q_CONIC_001</t>
  </si>
  <si>
    <t>已知椭圆的焦点在x轴上，a=5，c=3，求椭圆的标准方程。</t>
  </si>
  <si>
    <t>x²/25 + y²/16 = 1。</t>
  </si>
  <si>
    <t>椭圆焦点在x轴上，标准形式为x²/a²+y²/b²=1。由b²=a²-c²=25-9=16，故方程为x²/25+y²/16=1。</t>
  </si>
  <si>
    <t>识别为椭圆标准方程题，重点检查焦点轴和a,b,c关系。</t>
  </si>
  <si>
    <t>诊断规则库</t>
  </si>
  <si>
    <t>把你的教学意图固化成规则。AI生成建议时优先读取这里，而不是自由发挥。</t>
  </si>
  <si>
    <t>规则ID</t>
  </si>
  <si>
    <t>规则场景</t>
  </si>
  <si>
    <t>触发条件类型</t>
  </si>
  <si>
    <t>触发条件</t>
  </si>
  <si>
    <t>诊断结论</t>
  </si>
  <si>
    <t>学习建议</t>
  </si>
  <si>
    <t>推荐动作</t>
  </si>
  <si>
    <t>优先级1-5</t>
  </si>
  <si>
    <t>R_DERIV_001</t>
  </si>
  <si>
    <t>拍题答疑/错题分析</t>
  </si>
  <si>
    <t>错因命中</t>
  </si>
  <si>
    <t>学生答案中出现导数符号判断错误，或连续2次单调区间写反</t>
  </si>
  <si>
    <t>主要问题不是求导，而是导数符号判断不稳定。</t>
  </si>
  <si>
    <t>先练二次函数/因式分解后的符号表，再做5道不含参数的导数单调性题；正确率达到80%后再进入含参数题。</t>
  </si>
  <si>
    <t>推荐基础导数单调性题；暂不推荐压轴题</t>
  </si>
  <si>
    <t>R_DERIV_002</t>
  </si>
  <si>
    <t>测评报告</t>
  </si>
  <si>
    <t>正确率低</t>
  </si>
  <si>
    <t>近10道导数单调性题正确率 &lt; 60%</t>
  </si>
  <si>
    <t>导数单调性掌握偏弱，临界点分区和区间表达需要加强。</t>
  </si>
  <si>
    <t>本周重点：求导准确率、临界点分区、导数符号表、单调区间规范表达。</t>
  </si>
  <si>
    <t>生成专项训练包：基础题8道+中档题4道</t>
  </si>
  <si>
    <t>R_DERIV_003</t>
  </si>
  <si>
    <t>试卷诊断</t>
  </si>
  <si>
    <t>题型丢分</t>
  </si>
  <si>
    <t>导数最值题丢分，且过程未比较端点值</t>
  </si>
  <si>
    <t>学生混淆极值与最值，闭区间最值步骤不完整。</t>
  </si>
  <si>
    <t>闭区间最值题必须比较端点值和临界点函数值，建议先练4道闭区间最值基础题。</t>
  </si>
  <si>
    <t>推荐极值/最值区分题</t>
  </si>
  <si>
    <t>R_FUNC_001</t>
  </si>
  <si>
    <t>题目有根号、分母、对数，但学生未写定义域</t>
  </si>
  <si>
    <t>学生对函数有意义的限制条件敏感度不足。</t>
  </si>
  <si>
    <t>先完成定义域三类限制专项：分母不为0、根号非负、对数真数大于0。</t>
  </si>
  <si>
    <t>推荐定义域基础题</t>
  </si>
  <si>
    <t>R_GLOBAL_001</t>
  </si>
  <si>
    <t>连续错因</t>
  </si>
  <si>
    <t>同一错因在7天内出现≥3次</t>
  </si>
  <si>
    <t>任意错因</t>
  </si>
  <si>
    <t>同类错误反复出现，说明不是偶然失误，需要做专项补弱。</t>
  </si>
  <si>
    <t>把该错因列为本周提升重点，先做低一档难度题，避免直接刷综合题。</t>
  </si>
  <si>
    <t>加入本周学习计划</t>
  </si>
  <si>
    <t>R_GLOBAL_002</t>
  </si>
  <si>
    <t>掌握度高</t>
  </si>
  <si>
    <t>某知识点最近正确率 ≥ 85%，且尝试次数 ≥ 8</t>
  </si>
  <si>
    <t>任意知识点</t>
  </si>
  <si>
    <t>该知识点基础掌握较好，可以进入更高难度题型。</t>
  </si>
  <si>
    <t>增加综合题和变式题比例，但仍保留少量基础复习题。</t>
  </si>
  <si>
    <t>推荐中高档变式题</t>
  </si>
  <si>
    <t>AI输出格式</t>
  </si>
  <si>
    <t>后端调用 AI 时，建议强制模型按这个 JSON Schema 返回，便于小程序展示和数据库入库。</t>
  </si>
  <si>
    <t>字段</t>
  </si>
  <si>
    <t>类型</t>
  </si>
  <si>
    <t>是否必填</t>
  </si>
  <si>
    <t>示例</t>
  </si>
  <si>
    <t>说明</t>
  </si>
  <si>
    <t>recognized_question</t>
  </si>
  <si>
    <t>string</t>
  </si>
  <si>
    <t>OCR/文本识别后的题干</t>
  </si>
  <si>
    <t>grade_level</t>
  </si>
  <si>
    <t>否</t>
  </si>
  <si>
    <t>AI估计或用户选择的年级</t>
  </si>
  <si>
    <t>knowledge_points</t>
  </si>
  <si>
    <t>array</t>
  </si>
  <si>
    <t>[{"id":"K_DERIV_002","name":"利用导数判断单调性","confidence":0.92}]</t>
  </si>
  <si>
    <t>必须返回知识点ID，来自知识点库</t>
  </si>
  <si>
    <t>question_types</t>
  </si>
  <si>
    <t>[{"id":"T_DERIV_001","name":"利用导数求单调区间","confidence":0.89}]</t>
  </si>
  <si>
    <t>必须返回题型ID，来自题型库</t>
  </si>
  <si>
    <t>difficulty</t>
  </si>
  <si>
    <t>number</t>
  </si>
  <si>
    <t>2</t>
  </si>
  <si>
    <t>1-5，尽量与题库难度一致</t>
  </si>
  <si>
    <t>possible_errors</t>
  </si>
  <si>
    <t>[{"id":"E_DERIV_003","name":"导数符号判断错误"}]</t>
  </si>
  <si>
    <t>预测学生可能错因，来自错因库</t>
  </si>
  <si>
    <t>solution.idea</t>
  </si>
  <si>
    <t>通过导数符号判断函数单调性。</t>
  </si>
  <si>
    <t>解题思路</t>
  </si>
  <si>
    <t>solution.steps</t>
  </si>
  <si>
    <t>["确定定义域","求导","找临界点","判断符号","写区间"]</t>
  </si>
  <si>
    <t>分步讲解</t>
  </si>
  <si>
    <t>learning_advice.summary</t>
  </si>
  <si>
    <t>建议加强导数符号判断和区间表达。</t>
  </si>
  <si>
    <t>学习建议总结</t>
  </si>
  <si>
    <t>learning_advice.next_actions</t>
  </si>
  <si>
    <t>["练5道基础单调性题","复习二次函数符号表"]</t>
  </si>
  <si>
    <t>下一步动作</t>
  </si>
  <si>
    <t>recommend_question_ids</t>
  </si>
  <si>
    <t>["Q_DERIV_001","Q_DERIV_002"]</t>
  </si>
  <si>
    <t>推荐题目ID</t>
  </si>
  <si>
    <t>Prompt模板</t>
  </si>
  <si>
    <t>这是给后端调用AI时使用的基础提示词。实际开发时，把检索到的知识点、题型、错因、诊断规则一起传入。</t>
  </si>
  <si>
    <t>你是高中数学AI助教。请根据用户题目，严格从知识点库、题型库、错因库中选择最匹配的ID。
要求：
1. 先识别知识点ID、题型ID、难度、可能错因ID。
2. 解题必须先讲思路，再给分步过程，最后给易错点。
3. 学习建议必须具体到知识点/题型/错因，不允许只说“基础薄弱”。
4. 如果知识点前置能力不足，优先推荐前置知识点和基础题，不要直接推荐压轴题。
5. 输出必须是JSON，不要输出额外解释。
输入：
题目：{{question_text}}
学生答案：{{student_answer_optional}}
历史画像：{{student_profile_optional}}
可用标签：{{retrieved_knowledge_type_error_rules}}</t>
  </si>
  <si>
    <t>模板总览</t>
  </si>
  <si>
    <t>这个工作表用于快速查看模板结构。正式使用时，把Excel导入数据库，按ID建立关联和向量检索。</t>
  </si>
  <si>
    <t>模块</t>
  </si>
  <si>
    <t>样本数量</t>
  </si>
  <si>
    <t>作用</t>
  </si>
  <si>
    <t>下一步扩展建议</t>
  </si>
  <si>
    <t>定义学什么，让AI识别知识点ID</t>
  </si>
  <si>
    <t>先补齐导数20个知识点</t>
  </si>
  <si>
    <t>定义怎么考，让AI选择解题步骤</t>
  </si>
  <si>
    <t>先补齐导数15个高频题型</t>
  </si>
  <si>
    <t>定义为什么错，让建议更具体</t>
  </si>
  <si>
    <t>先补齐导数15个错因</t>
  </si>
  <si>
    <t>题目带标签，用于测评和推荐</t>
  </si>
  <si>
    <t>先录入导数100道题</t>
  </si>
  <si>
    <t>把教学意图变成规则</t>
  </si>
  <si>
    <t>先写20条导数诊断规则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</si>
</sst>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sz val="11"/>
      <color rgb="FF1E3A8A"/>
      <name val="Carlito"/>
      <charset val="134"/>
    </font>
    <font>
      <b/>
      <sz val="11"/>
      <color rgb="FF1E3A8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9" defaultRowHeight="16.8" outlineLevelCol="1"/>
  <cols>
    <col min="1" max="1" width="18" customWidth="1"/>
    <col min="2" max="2" width="88" customWidth="1"/>
  </cols>
  <sheetData>
    <row r="1" ht="20.4" spans="1:2">
      <c r="A1" s="1" t="s">
        <v>0</v>
      </c>
    </row>
    <row r="2" spans="1:2">
      <c r="A2" s="2" t="s">
        <v>1</v>
      </c>
    </row>
    <row r="4" ht="17" spans="1:2">
      <c r="A4" s="3" t="s">
        <v>2</v>
      </c>
      <c r="B4" s="3" t="s">
        <v>3</v>
      </c>
    </row>
    <row r="5" ht="17" spans="1:2">
      <c r="A5" s="4" t="s">
        <v>4</v>
      </c>
      <c r="B5" s="4" t="s">
        <v>5</v>
      </c>
    </row>
    <row r="6" ht="17" spans="1:2">
      <c r="A6" s="4" t="s">
        <v>6</v>
      </c>
      <c r="B6" s="4" t="s">
        <v>7</v>
      </c>
    </row>
    <row r="7" ht="17" spans="1:2">
      <c r="A7" s="4" t="s">
        <v>8</v>
      </c>
      <c r="B7" s="4" t="s">
        <v>9</v>
      </c>
    </row>
    <row r="8" ht="17" spans="1:2">
      <c r="A8" s="4" t="s">
        <v>10</v>
      </c>
      <c r="B8" s="4" t="s">
        <v>11</v>
      </c>
    </row>
    <row r="9" ht="17" spans="1:2">
      <c r="A9" s="4" t="s">
        <v>12</v>
      </c>
      <c r="B9" s="4" t="s">
        <v>13</v>
      </c>
    </row>
  </sheetData>
  <mergeCells count="2">
    <mergeCell ref="A1:B1"/>
    <mergeCell ref="A2:B2"/>
  </mergeCells>
  <pageMargins left="0.7" right="0.7" top="0.75" bottom="0.75" header="0.3" footer="0.3"/>
  <pageSetup paperSize="7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:L1"/>
    </sheetView>
  </sheetViews>
  <sheetFormatPr defaultColWidth="9" defaultRowHeight="16.8"/>
  <cols>
    <col min="1" max="1" width="18" customWidth="1"/>
    <col min="2" max="6" width="16" customWidth="1"/>
    <col min="7" max="8" width="18" customWidth="1"/>
    <col min="9" max="10" width="34" customWidth="1"/>
    <col min="11" max="12" width="16" customWidth="1"/>
  </cols>
  <sheetData>
    <row r="1" ht="20.4" spans="1:12">
      <c r="A1" s="1" t="s">
        <v>14</v>
      </c>
    </row>
    <row r="2" spans="1:12">
      <c r="A2" s="2" t="s">
        <v>15</v>
      </c>
    </row>
    <row r="4" ht="17" spans="1:1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</row>
    <row r="5" ht="51" spans="1:12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>
        <v>1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</row>
    <row r="6" ht="51" spans="1:12">
      <c r="A6" s="4" t="s">
        <v>39</v>
      </c>
      <c r="B6" s="4" t="s">
        <v>29</v>
      </c>
      <c r="C6" s="4" t="s">
        <v>40</v>
      </c>
      <c r="D6" s="4" t="s">
        <v>41</v>
      </c>
      <c r="E6" s="4" t="s">
        <v>42</v>
      </c>
      <c r="F6" s="4">
        <v>2</v>
      </c>
      <c r="G6" s="4" t="s">
        <v>28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</row>
    <row r="7" ht="51" spans="1:12">
      <c r="A7" s="4" t="s">
        <v>48</v>
      </c>
      <c r="B7" s="4" t="s">
        <v>49</v>
      </c>
      <c r="C7" s="4" t="s">
        <v>50</v>
      </c>
      <c r="D7" s="4" t="s">
        <v>51</v>
      </c>
      <c r="E7" s="4" t="s">
        <v>52</v>
      </c>
      <c r="F7" s="4">
        <v>2</v>
      </c>
      <c r="G7" s="4" t="s">
        <v>28</v>
      </c>
      <c r="H7" s="4" t="s">
        <v>53</v>
      </c>
      <c r="I7" s="4" t="s">
        <v>54</v>
      </c>
      <c r="J7" s="4" t="s">
        <v>55</v>
      </c>
      <c r="K7" s="4" t="s">
        <v>56</v>
      </c>
      <c r="L7" s="4" t="s">
        <v>57</v>
      </c>
    </row>
    <row r="8" ht="51" spans="1:12">
      <c r="A8" s="4" t="s">
        <v>58</v>
      </c>
      <c r="B8" s="4" t="s">
        <v>49</v>
      </c>
      <c r="C8" s="4" t="s">
        <v>59</v>
      </c>
      <c r="D8" s="4" t="s">
        <v>60</v>
      </c>
      <c r="E8" s="4" t="s">
        <v>52</v>
      </c>
      <c r="F8" s="4">
        <v>3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65</v>
      </c>
      <c r="L8" s="4" t="s">
        <v>66</v>
      </c>
    </row>
    <row r="9" ht="51" spans="1:12">
      <c r="A9" s="4" t="s">
        <v>67</v>
      </c>
      <c r="B9" s="4" t="s">
        <v>49</v>
      </c>
      <c r="C9" s="4" t="s">
        <v>59</v>
      </c>
      <c r="D9" s="4" t="s">
        <v>68</v>
      </c>
      <c r="E9" s="4" t="s">
        <v>52</v>
      </c>
      <c r="F9" s="4">
        <v>3</v>
      </c>
      <c r="G9" s="4" t="s">
        <v>58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</row>
    <row r="10" ht="51" spans="1:12">
      <c r="A10" s="4" t="s">
        <v>74</v>
      </c>
      <c r="B10" s="4" t="s">
        <v>49</v>
      </c>
      <c r="C10" s="4" t="s">
        <v>75</v>
      </c>
      <c r="D10" s="4" t="s">
        <v>76</v>
      </c>
      <c r="E10" s="4" t="s">
        <v>77</v>
      </c>
      <c r="F10" s="4">
        <v>4</v>
      </c>
      <c r="G10" s="4" t="s">
        <v>78</v>
      </c>
      <c r="H10" s="4" t="s">
        <v>79</v>
      </c>
      <c r="I10" s="4" t="s">
        <v>80</v>
      </c>
      <c r="J10" s="4" t="s">
        <v>81</v>
      </c>
      <c r="K10" s="4" t="s">
        <v>82</v>
      </c>
      <c r="L10" s="4" t="s">
        <v>83</v>
      </c>
    </row>
    <row r="11" ht="34" spans="1:12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42</v>
      </c>
      <c r="F11" s="4">
        <v>2</v>
      </c>
      <c r="G11" s="4" t="s">
        <v>33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</row>
    <row r="12" ht="51" spans="1:12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52</v>
      </c>
      <c r="F12" s="4">
        <v>3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  <c r="L12" s="4" t="s">
        <v>102</v>
      </c>
    </row>
  </sheetData>
  <mergeCells count="2">
    <mergeCell ref="A1:L1"/>
    <mergeCell ref="A2:L2"/>
  </mergeCells>
  <pageMargins left="0.7" right="0.7" top="0.75" bottom="0.75" header="0.3" footer="0.3"/>
  <pageSetup paperSize="77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:K1"/>
    </sheetView>
  </sheetViews>
  <sheetFormatPr defaultColWidth="9" defaultRowHeight="16.8"/>
  <cols>
    <col min="1" max="1" width="18" customWidth="1"/>
    <col min="2" max="3" width="16" customWidth="1"/>
    <col min="4" max="4" width="18" customWidth="1"/>
    <col min="5" max="5" width="16" customWidth="1"/>
    <col min="6" max="6" width="34" customWidth="1"/>
    <col min="7" max="7" width="16" customWidth="1"/>
    <col min="8" max="8" width="18" customWidth="1"/>
    <col min="9" max="11" width="16" customWidth="1"/>
  </cols>
  <sheetData>
    <row r="1" ht="20.4" spans="1:11">
      <c r="A1" s="1" t="s">
        <v>103</v>
      </c>
    </row>
    <row r="2" spans="1:11">
      <c r="A2" s="2" t="s">
        <v>104</v>
      </c>
    </row>
    <row r="4" ht="17" spans="1:11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23</v>
      </c>
      <c r="I4" s="3" t="s">
        <v>21</v>
      </c>
      <c r="J4" s="3" t="s">
        <v>112</v>
      </c>
      <c r="K4" s="3" t="s">
        <v>26</v>
      </c>
    </row>
    <row r="5" ht="51" spans="1:11">
      <c r="A5" s="4" t="s">
        <v>113</v>
      </c>
      <c r="B5" s="4" t="s">
        <v>114</v>
      </c>
      <c r="C5" s="4" t="s">
        <v>49</v>
      </c>
      <c r="D5" s="4" t="s">
        <v>115</v>
      </c>
      <c r="E5" s="4" t="s">
        <v>116</v>
      </c>
      <c r="F5" s="4" t="s">
        <v>117</v>
      </c>
      <c r="G5" s="4" t="s">
        <v>118</v>
      </c>
      <c r="H5" s="4" t="s">
        <v>62</v>
      </c>
      <c r="I5" s="4">
        <v>2</v>
      </c>
      <c r="J5" s="4" t="s">
        <v>119</v>
      </c>
      <c r="K5" s="4" t="s">
        <v>120</v>
      </c>
    </row>
    <row r="6" ht="51" spans="1:11">
      <c r="A6" s="4" t="s">
        <v>121</v>
      </c>
      <c r="B6" s="4" t="s">
        <v>122</v>
      </c>
      <c r="C6" s="4" t="s">
        <v>49</v>
      </c>
      <c r="D6" s="4" t="s">
        <v>123</v>
      </c>
      <c r="E6" s="4" t="s">
        <v>124</v>
      </c>
      <c r="F6" s="4" t="s">
        <v>125</v>
      </c>
      <c r="G6" s="4" t="s">
        <v>126</v>
      </c>
      <c r="H6" s="4" t="s">
        <v>79</v>
      </c>
      <c r="I6" s="4">
        <v>4</v>
      </c>
      <c r="J6" s="4" t="s">
        <v>127</v>
      </c>
      <c r="K6" s="4" t="s">
        <v>128</v>
      </c>
    </row>
    <row r="7" ht="34" spans="1:11">
      <c r="A7" s="4" t="s">
        <v>129</v>
      </c>
      <c r="B7" s="4" t="s">
        <v>130</v>
      </c>
      <c r="C7" s="4" t="s">
        <v>49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69</v>
      </c>
      <c r="I7" s="4">
        <v>3</v>
      </c>
      <c r="J7" s="4" t="s">
        <v>135</v>
      </c>
      <c r="K7" s="4" t="s">
        <v>136</v>
      </c>
    </row>
    <row r="8" ht="34" spans="1:11">
      <c r="A8" s="4" t="s">
        <v>137</v>
      </c>
      <c r="B8" s="4" t="s">
        <v>138</v>
      </c>
      <c r="C8" s="4" t="s">
        <v>29</v>
      </c>
      <c r="D8" s="4" t="s">
        <v>28</v>
      </c>
      <c r="E8" s="4" t="s">
        <v>139</v>
      </c>
      <c r="F8" s="4" t="s">
        <v>140</v>
      </c>
      <c r="G8" s="4" t="s">
        <v>141</v>
      </c>
      <c r="H8" s="4" t="s">
        <v>142</v>
      </c>
      <c r="I8" s="4">
        <v>1</v>
      </c>
      <c r="J8" s="4" t="s">
        <v>143</v>
      </c>
      <c r="K8" s="4" t="s">
        <v>144</v>
      </c>
    </row>
    <row r="9" ht="34" spans="1:11">
      <c r="A9" s="4" t="s">
        <v>145</v>
      </c>
      <c r="B9" s="4" t="s">
        <v>146</v>
      </c>
      <c r="C9" s="4" t="s">
        <v>85</v>
      </c>
      <c r="D9" s="4" t="s">
        <v>84</v>
      </c>
      <c r="E9" s="4" t="s">
        <v>147</v>
      </c>
      <c r="F9" s="4" t="s">
        <v>148</v>
      </c>
      <c r="G9" s="4" t="s">
        <v>149</v>
      </c>
      <c r="H9" s="4" t="s">
        <v>88</v>
      </c>
      <c r="I9" s="4">
        <v>2</v>
      </c>
      <c r="J9" s="4" t="s">
        <v>150</v>
      </c>
      <c r="K9" s="4" t="s">
        <v>151</v>
      </c>
    </row>
    <row r="10" ht="34" spans="1:11">
      <c r="A10" s="4" t="s">
        <v>152</v>
      </c>
      <c r="B10" s="4" t="s">
        <v>96</v>
      </c>
      <c r="C10" s="4" t="s">
        <v>94</v>
      </c>
      <c r="D10" s="4" t="s">
        <v>93</v>
      </c>
      <c r="E10" s="4" t="s">
        <v>153</v>
      </c>
      <c r="F10" s="4" t="s">
        <v>154</v>
      </c>
      <c r="G10" s="4" t="s">
        <v>155</v>
      </c>
      <c r="H10" s="4" t="s">
        <v>98</v>
      </c>
      <c r="I10" s="4">
        <v>3</v>
      </c>
      <c r="J10" s="4" t="s">
        <v>156</v>
      </c>
      <c r="K10" s="4" t="s">
        <v>157</v>
      </c>
    </row>
  </sheetData>
  <mergeCells count="2">
    <mergeCell ref="A1:K1"/>
    <mergeCell ref="A2:K2"/>
  </mergeCells>
  <pageMargins left="0.7" right="0.7" top="0.75" bottom="0.75" header="0.3" footer="0.3"/>
  <pageSetup paperSize="7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:H1"/>
    </sheetView>
  </sheetViews>
  <sheetFormatPr defaultColWidth="9" defaultRowHeight="16.8" outlineLevelCol="7"/>
  <cols>
    <col min="1" max="1" width="18" customWidth="1"/>
    <col min="2" max="3" width="16" customWidth="1"/>
    <col min="4" max="6" width="34" customWidth="1"/>
    <col min="7" max="7" width="18" customWidth="1"/>
    <col min="8" max="8" width="16" customWidth="1"/>
  </cols>
  <sheetData>
    <row r="1" ht="20.4" spans="1:8">
      <c r="A1" s="1" t="s">
        <v>158</v>
      </c>
    </row>
    <row r="2" spans="1:8">
      <c r="A2" s="2" t="s">
        <v>159</v>
      </c>
    </row>
    <row r="4" ht="17" spans="1:8">
      <c r="A4" s="3" t="s">
        <v>160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  <c r="G4" s="3" t="s">
        <v>108</v>
      </c>
      <c r="H4" s="3" t="s">
        <v>26</v>
      </c>
    </row>
    <row r="5" ht="51" spans="1:8">
      <c r="A5" s="4" t="s">
        <v>34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28</v>
      </c>
      <c r="H5" s="4" t="s">
        <v>171</v>
      </c>
    </row>
    <row r="6" ht="34" spans="1:8">
      <c r="A6" s="4" t="s">
        <v>172</v>
      </c>
      <c r="B6" s="4" t="s">
        <v>173</v>
      </c>
      <c r="C6" s="4" t="s">
        <v>174</v>
      </c>
      <c r="D6" s="4" t="s">
        <v>175</v>
      </c>
      <c r="E6" s="4" t="s">
        <v>176</v>
      </c>
      <c r="F6" s="4" t="s">
        <v>177</v>
      </c>
      <c r="G6" s="4" t="s">
        <v>48</v>
      </c>
      <c r="H6" s="4" t="s">
        <v>178</v>
      </c>
    </row>
    <row r="7" ht="34" spans="1:8">
      <c r="A7" s="4" t="s">
        <v>179</v>
      </c>
      <c r="B7" s="4" t="s">
        <v>180</v>
      </c>
      <c r="C7" s="4" t="s">
        <v>181</v>
      </c>
      <c r="D7" s="4" t="s">
        <v>182</v>
      </c>
      <c r="E7" s="4" t="s">
        <v>183</v>
      </c>
      <c r="F7" s="4" t="s">
        <v>184</v>
      </c>
      <c r="G7" s="4" t="s">
        <v>185</v>
      </c>
      <c r="H7" s="4" t="s">
        <v>186</v>
      </c>
    </row>
    <row r="8" ht="34" spans="1:8">
      <c r="A8" s="4" t="s">
        <v>187</v>
      </c>
      <c r="B8" s="4" t="s">
        <v>188</v>
      </c>
      <c r="C8" s="4" t="s">
        <v>189</v>
      </c>
      <c r="D8" s="4" t="s">
        <v>190</v>
      </c>
      <c r="E8" s="4" t="s">
        <v>191</v>
      </c>
      <c r="F8" s="4" t="s">
        <v>192</v>
      </c>
      <c r="G8" s="4" t="s">
        <v>193</v>
      </c>
      <c r="H8" s="4" t="s">
        <v>194</v>
      </c>
    </row>
    <row r="9" ht="34" spans="1:8">
      <c r="A9" s="4" t="s">
        <v>195</v>
      </c>
      <c r="B9" s="4" t="s">
        <v>166</v>
      </c>
      <c r="C9" s="4" t="s">
        <v>196</v>
      </c>
      <c r="D9" s="4" t="s">
        <v>197</v>
      </c>
      <c r="E9" s="4" t="s">
        <v>198</v>
      </c>
      <c r="F9" s="4" t="s">
        <v>199</v>
      </c>
      <c r="G9" s="4" t="s">
        <v>67</v>
      </c>
      <c r="H9" s="4" t="s">
        <v>200</v>
      </c>
    </row>
    <row r="10" ht="34" spans="1:8">
      <c r="A10" s="4" t="s">
        <v>201</v>
      </c>
      <c r="B10" s="4" t="s">
        <v>202</v>
      </c>
      <c r="C10" s="4" t="s">
        <v>203</v>
      </c>
      <c r="D10" s="4" t="s">
        <v>204</v>
      </c>
      <c r="E10" s="4" t="s">
        <v>205</v>
      </c>
      <c r="F10" s="4" t="s">
        <v>206</v>
      </c>
      <c r="G10" s="4" t="s">
        <v>207</v>
      </c>
      <c r="H10" s="4" t="s">
        <v>208</v>
      </c>
    </row>
    <row r="11" ht="34" spans="1:8">
      <c r="A11" s="4" t="s">
        <v>209</v>
      </c>
      <c r="B11" s="4" t="s">
        <v>188</v>
      </c>
      <c r="C11" s="4" t="s">
        <v>210</v>
      </c>
      <c r="D11" s="4" t="s">
        <v>211</v>
      </c>
      <c r="E11" s="4" t="s">
        <v>212</v>
      </c>
      <c r="F11" s="4" t="s">
        <v>213</v>
      </c>
      <c r="G11" s="4" t="s">
        <v>74</v>
      </c>
      <c r="H11" s="4" t="s">
        <v>214</v>
      </c>
    </row>
    <row r="12" ht="34" spans="1:8">
      <c r="A12" s="4" t="s">
        <v>215</v>
      </c>
      <c r="B12" s="4" t="s">
        <v>216</v>
      </c>
      <c r="C12" s="4" t="s">
        <v>217</v>
      </c>
      <c r="D12" s="4" t="s">
        <v>218</v>
      </c>
      <c r="E12" s="4" t="s">
        <v>219</v>
      </c>
      <c r="F12" s="4" t="s">
        <v>220</v>
      </c>
      <c r="G12" s="4" t="s">
        <v>74</v>
      </c>
      <c r="H12" s="4" t="s">
        <v>221</v>
      </c>
    </row>
  </sheetData>
  <mergeCells count="2">
    <mergeCell ref="A1:H1"/>
    <mergeCell ref="A2:H2"/>
  </mergeCells>
  <pageMargins left="0.7" right="0.7" top="0.75" bottom="0.75" header="0.3" footer="0.3"/>
  <pageSetup paperSize="77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A1" sqref="A1:O1"/>
    </sheetView>
  </sheetViews>
  <sheetFormatPr defaultColWidth="9" defaultRowHeight="16.8"/>
  <cols>
    <col min="1" max="1" width="18" customWidth="1"/>
    <col min="2" max="4" width="16" customWidth="1"/>
    <col min="5" max="7" width="34" customWidth="1"/>
    <col min="8" max="10" width="18" customWidth="1"/>
    <col min="11" max="11" width="16" customWidth="1"/>
    <col min="12" max="13" width="18" customWidth="1"/>
    <col min="14" max="15" width="34" customWidth="1"/>
  </cols>
  <sheetData>
    <row r="1" ht="20.4" spans="1:15">
      <c r="A1" s="1" t="s">
        <v>222</v>
      </c>
    </row>
    <row r="2" spans="1:15">
      <c r="A2" s="2" t="s">
        <v>223</v>
      </c>
    </row>
    <row r="4" ht="17" spans="1:15">
      <c r="A4" s="3" t="s">
        <v>224</v>
      </c>
      <c r="B4" s="3" t="s">
        <v>225</v>
      </c>
      <c r="C4" s="3" t="s">
        <v>20</v>
      </c>
      <c r="D4" s="3" t="s">
        <v>21</v>
      </c>
      <c r="E4" s="3" t="s">
        <v>226</v>
      </c>
      <c r="F4" s="3" t="s">
        <v>227</v>
      </c>
      <c r="G4" s="3" t="s">
        <v>228</v>
      </c>
      <c r="H4" s="3" t="s">
        <v>16</v>
      </c>
      <c r="I4" s="3" t="s">
        <v>105</v>
      </c>
      <c r="J4" s="3" t="s">
        <v>23</v>
      </c>
      <c r="K4" s="3" t="s">
        <v>229</v>
      </c>
      <c r="L4" s="3" t="s">
        <v>230</v>
      </c>
      <c r="M4" s="3" t="s">
        <v>231</v>
      </c>
      <c r="N4" s="3" t="s">
        <v>232</v>
      </c>
      <c r="O4" s="3" t="s">
        <v>233</v>
      </c>
    </row>
    <row r="5" ht="168" spans="1:15">
      <c r="A5" s="4" t="s">
        <v>234</v>
      </c>
      <c r="B5" s="4" t="s">
        <v>235</v>
      </c>
      <c r="C5" s="4" t="s">
        <v>236</v>
      </c>
      <c r="D5" s="4">
        <v>2</v>
      </c>
      <c r="E5" s="4" t="s">
        <v>237</v>
      </c>
      <c r="F5" s="4" t="s">
        <v>238</v>
      </c>
      <c r="G5" s="4" t="s">
        <v>239</v>
      </c>
      <c r="H5" s="4" t="s">
        <v>115</v>
      </c>
      <c r="I5" s="4" t="s">
        <v>113</v>
      </c>
      <c r="J5" s="4" t="s">
        <v>62</v>
      </c>
      <c r="K5" s="4" t="s">
        <v>240</v>
      </c>
      <c r="L5" s="4" t="s">
        <v>33</v>
      </c>
      <c r="M5" s="4" t="s">
        <v>241</v>
      </c>
      <c r="N5" s="4" t="s">
        <v>242</v>
      </c>
      <c r="O5" s="4" t="str">
        <f t="shared" ref="O5:O10" si="0">"题干："&amp;E5&amp;CHAR(10)&amp;"知识点ID："&amp;H5&amp;CHAR(10)&amp;"题型ID："&amp;I5&amp;CHAR(10)&amp;"常见错因ID："&amp;J5&amp;CHAR(10)&amp;"识别提示："&amp;N5</f>
        <v>题干：已知函数 f(x)=x^3-3x^2+1，求函数 f(x) 的单调区间。
知识点ID：K_DERIV_001,K_DERIV_002,K_FUNC_002
题型ID：T_DERIV_001
常见错因ID：E_DERIV_003,E_INTERVAL_001
识别提示：识别为导数求单调区间题，重点检查是否先求导、是否会做导数符号表、区间是否规范。</v>
      </c>
    </row>
    <row r="6" ht="118" spans="1:15">
      <c r="A6" s="4" t="s">
        <v>241</v>
      </c>
      <c r="B6" s="4" t="s">
        <v>235</v>
      </c>
      <c r="C6" s="4" t="s">
        <v>52</v>
      </c>
      <c r="D6" s="4">
        <v>3</v>
      </c>
      <c r="E6" s="4" t="s">
        <v>243</v>
      </c>
      <c r="F6" s="4" t="s">
        <v>244</v>
      </c>
      <c r="G6" s="4" t="s">
        <v>245</v>
      </c>
      <c r="H6" s="4" t="s">
        <v>246</v>
      </c>
      <c r="I6" s="4" t="s">
        <v>129</v>
      </c>
      <c r="J6" s="4" t="s">
        <v>247</v>
      </c>
      <c r="K6" s="4" t="s">
        <v>240</v>
      </c>
      <c r="L6" s="4" t="s">
        <v>234</v>
      </c>
      <c r="M6" s="4" t="s">
        <v>248</v>
      </c>
      <c r="N6" s="4" t="s">
        <v>249</v>
      </c>
      <c r="O6" s="4" t="str">
        <f t="shared" si="0"/>
        <v>题干：已知函数 f(x)=x^3-3x^2+1，求 f(x) 在区间 [-1,3] 上的最大值和最小值。
知识点ID：K_DERIV_001,K_DERIV_003
题型ID：T_DERIV_003
常见错因ID：E_DERIV_004,E_CALC_001
识别提示：识别为导数最值题，重点检查是否比较端点值和临界点函数值。</v>
      </c>
    </row>
    <row r="7" ht="135" spans="1:15">
      <c r="A7" s="4" t="s">
        <v>248</v>
      </c>
      <c r="B7" s="4" t="s">
        <v>235</v>
      </c>
      <c r="C7" s="4" t="s">
        <v>77</v>
      </c>
      <c r="D7" s="4">
        <v>4</v>
      </c>
      <c r="E7" s="4" t="s">
        <v>250</v>
      </c>
      <c r="F7" s="4" t="s">
        <v>251</v>
      </c>
      <c r="G7" s="4" t="s">
        <v>252</v>
      </c>
      <c r="H7" s="4" t="s">
        <v>123</v>
      </c>
      <c r="I7" s="4" t="s">
        <v>121</v>
      </c>
      <c r="J7" s="4" t="s">
        <v>79</v>
      </c>
      <c r="K7" s="4" t="s">
        <v>240</v>
      </c>
      <c r="L7" s="4" t="s">
        <v>234</v>
      </c>
      <c r="M7" s="4" t="s">
        <v>33</v>
      </c>
      <c r="N7" s="4" t="s">
        <v>253</v>
      </c>
      <c r="O7" s="4" t="str">
        <f t="shared" si="0"/>
        <v>题干：若函数 f(x)=x^3-3ax 在 R 上单调递增，求实数 a 的取值范围。
知识点ID：K_DERIV_002,K_DERIV_004
题型ID：T_DERIV_002
常见错因ID：E_METHOD_002,E_DISCUSS_001
识别提示：识别为已知单调性求参数范围，重点看能否转化为导数非负恒成立。</v>
      </c>
    </row>
    <row r="8" ht="118" spans="1:15">
      <c r="A8" s="4" t="s">
        <v>254</v>
      </c>
      <c r="B8" s="4" t="s">
        <v>235</v>
      </c>
      <c r="C8" s="4" t="s">
        <v>32</v>
      </c>
      <c r="D8" s="4">
        <v>1</v>
      </c>
      <c r="E8" s="4" t="s">
        <v>255</v>
      </c>
      <c r="F8" s="4" t="s">
        <v>256</v>
      </c>
      <c r="G8" s="4" t="s">
        <v>257</v>
      </c>
      <c r="H8" s="4" t="s">
        <v>28</v>
      </c>
      <c r="I8" s="4" t="s">
        <v>137</v>
      </c>
      <c r="J8" s="4" t="s">
        <v>142</v>
      </c>
      <c r="K8" s="4" t="s">
        <v>240</v>
      </c>
      <c r="L8" s="4" t="s">
        <v>33</v>
      </c>
      <c r="M8" s="4" t="s">
        <v>234</v>
      </c>
      <c r="N8" s="4" t="s">
        <v>258</v>
      </c>
      <c r="O8" s="4" t="str">
        <f t="shared" si="0"/>
        <v>题干：求函数 y=√(x-1)/(x-3) 的定义域。
知识点ID：K_FUNC_001
题型ID：T_FUNC_001
常见错因ID：E_REVIEW_001,E_INTERVAL_001
识别提示：识别为函数定义域题，重点看是否同时考虑根号和分母限制。</v>
      </c>
    </row>
    <row r="9" ht="135" spans="1:15">
      <c r="A9" s="4" t="s">
        <v>259</v>
      </c>
      <c r="B9" s="4" t="s">
        <v>235</v>
      </c>
      <c r="C9" s="4" t="s">
        <v>42</v>
      </c>
      <c r="D9" s="4">
        <v>2</v>
      </c>
      <c r="E9" s="4" t="s">
        <v>260</v>
      </c>
      <c r="F9" s="4" t="s">
        <v>261</v>
      </c>
      <c r="G9" s="4" t="s">
        <v>262</v>
      </c>
      <c r="H9" s="4" t="s">
        <v>84</v>
      </c>
      <c r="I9" s="4" t="s">
        <v>145</v>
      </c>
      <c r="J9" s="4" t="s">
        <v>88</v>
      </c>
      <c r="K9" s="4" t="s">
        <v>240</v>
      </c>
      <c r="L9" s="4" t="s">
        <v>33</v>
      </c>
      <c r="M9" s="4" t="s">
        <v>33</v>
      </c>
      <c r="N9" s="4" t="s">
        <v>263</v>
      </c>
      <c r="O9" s="4" t="str">
        <f t="shared" si="0"/>
        <v>题干：等差数列 {a_n} 中，a_1=3，d=2，求 a_n 与 S_n。
知识点ID：K_SEQ_001
题型ID：T_SEQ_001
常见错因ID：E_FORMULA_002,E_CALC_001
识别提示：识别为等差数列基础题，重点检查通项公式和求和公式。</v>
      </c>
    </row>
    <row r="10" ht="135" spans="1:15">
      <c r="A10" s="4" t="s">
        <v>264</v>
      </c>
      <c r="B10" s="4" t="s">
        <v>235</v>
      </c>
      <c r="C10" s="4" t="s">
        <v>52</v>
      </c>
      <c r="D10" s="4">
        <v>3</v>
      </c>
      <c r="E10" s="4" t="s">
        <v>265</v>
      </c>
      <c r="F10" s="4" t="s">
        <v>266</v>
      </c>
      <c r="G10" s="4" t="s">
        <v>267</v>
      </c>
      <c r="H10" s="4" t="s">
        <v>93</v>
      </c>
      <c r="I10" s="4" t="s">
        <v>152</v>
      </c>
      <c r="J10" s="4" t="s">
        <v>98</v>
      </c>
      <c r="K10" s="4" t="s">
        <v>240</v>
      </c>
      <c r="L10" s="4" t="s">
        <v>33</v>
      </c>
      <c r="M10" s="4" t="s">
        <v>33</v>
      </c>
      <c r="N10" s="4" t="s">
        <v>268</v>
      </c>
      <c r="O10" s="4" t="str">
        <f t="shared" si="0"/>
        <v>题干：已知椭圆的焦点在x轴上，a=5，c=3，求椭圆的标准方程。
知识点ID：K_CONIC_001
题型ID：T_CONIC_001
常见错因ID：E_FORMULA_003,E_REVIEW_001
识别提示：识别为椭圆标准方程题，重点检查焦点轴和a,b,c关系。</v>
      </c>
    </row>
  </sheetData>
  <mergeCells count="2">
    <mergeCell ref="A1:O1"/>
    <mergeCell ref="A2:O2"/>
  </mergeCells>
  <pageMargins left="0.7" right="0.7" top="0.75" bottom="0.75" header="0.3" footer="0.3"/>
  <pageSetup paperSize="77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:K1"/>
    </sheetView>
  </sheetViews>
  <sheetFormatPr defaultColWidth="9" defaultRowHeight="16.8"/>
  <cols>
    <col min="1" max="1" width="18" customWidth="1"/>
    <col min="2" max="4" width="16" customWidth="1"/>
    <col min="5" max="7" width="18" customWidth="1"/>
    <col min="8" max="8" width="16" customWidth="1"/>
    <col min="9" max="9" width="34" customWidth="1"/>
    <col min="10" max="11" width="16" customWidth="1"/>
  </cols>
  <sheetData>
    <row r="1" ht="20.4" spans="1:11">
      <c r="A1" s="1" t="s">
        <v>269</v>
      </c>
    </row>
    <row r="2" spans="1:11">
      <c r="A2" s="2" t="s">
        <v>270</v>
      </c>
    </row>
    <row r="4" ht="17" spans="1:11">
      <c r="A4" s="3" t="s">
        <v>271</v>
      </c>
      <c r="B4" s="3" t="s">
        <v>272</v>
      </c>
      <c r="C4" s="3" t="s">
        <v>273</v>
      </c>
      <c r="D4" s="3" t="s">
        <v>274</v>
      </c>
      <c r="E4" s="3" t="s">
        <v>16</v>
      </c>
      <c r="F4" s="3" t="s">
        <v>105</v>
      </c>
      <c r="G4" s="3" t="s">
        <v>160</v>
      </c>
      <c r="H4" s="3" t="s">
        <v>275</v>
      </c>
      <c r="I4" s="3" t="s">
        <v>276</v>
      </c>
      <c r="J4" s="3" t="s">
        <v>277</v>
      </c>
      <c r="K4" s="3" t="s">
        <v>278</v>
      </c>
    </row>
    <row r="5" ht="51" spans="1:11">
      <c r="A5" s="4" t="s">
        <v>279</v>
      </c>
      <c r="B5" s="4" t="s">
        <v>280</v>
      </c>
      <c r="C5" s="4" t="s">
        <v>281</v>
      </c>
      <c r="D5" s="4" t="s">
        <v>282</v>
      </c>
      <c r="E5" s="4" t="s">
        <v>193</v>
      </c>
      <c r="F5" s="4" t="s">
        <v>113</v>
      </c>
      <c r="G5" s="4" t="s">
        <v>187</v>
      </c>
      <c r="H5" s="4" t="s">
        <v>283</v>
      </c>
      <c r="I5" s="4" t="s">
        <v>284</v>
      </c>
      <c r="J5" s="4" t="s">
        <v>285</v>
      </c>
      <c r="K5" s="4">
        <v>5</v>
      </c>
    </row>
    <row r="6" ht="51" spans="1:11">
      <c r="A6" s="4" t="s">
        <v>286</v>
      </c>
      <c r="B6" s="4" t="s">
        <v>287</v>
      </c>
      <c r="C6" s="4" t="s">
        <v>288</v>
      </c>
      <c r="D6" s="4" t="s">
        <v>289</v>
      </c>
      <c r="E6" s="4" t="s">
        <v>58</v>
      </c>
      <c r="F6" s="4" t="s">
        <v>113</v>
      </c>
      <c r="G6" s="4" t="s">
        <v>62</v>
      </c>
      <c r="H6" s="4" t="s">
        <v>290</v>
      </c>
      <c r="I6" s="4" t="s">
        <v>291</v>
      </c>
      <c r="J6" s="4" t="s">
        <v>292</v>
      </c>
      <c r="K6" s="4">
        <v>5</v>
      </c>
    </row>
    <row r="7" ht="51" spans="1:11">
      <c r="A7" s="4" t="s">
        <v>293</v>
      </c>
      <c r="B7" s="4" t="s">
        <v>294</v>
      </c>
      <c r="C7" s="4" t="s">
        <v>295</v>
      </c>
      <c r="D7" s="4" t="s">
        <v>296</v>
      </c>
      <c r="E7" s="4" t="s">
        <v>67</v>
      </c>
      <c r="F7" s="4" t="s">
        <v>129</v>
      </c>
      <c r="G7" s="4" t="s">
        <v>195</v>
      </c>
      <c r="H7" s="4" t="s">
        <v>297</v>
      </c>
      <c r="I7" s="4" t="s">
        <v>298</v>
      </c>
      <c r="J7" s="4" t="s">
        <v>299</v>
      </c>
      <c r="K7" s="4">
        <v>4</v>
      </c>
    </row>
    <row r="8" ht="51" spans="1:11">
      <c r="A8" s="4" t="s">
        <v>300</v>
      </c>
      <c r="B8" s="4" t="s">
        <v>280</v>
      </c>
      <c r="C8" s="4" t="s">
        <v>281</v>
      </c>
      <c r="D8" s="4" t="s">
        <v>301</v>
      </c>
      <c r="E8" s="4" t="s">
        <v>28</v>
      </c>
      <c r="F8" s="4" t="s">
        <v>137</v>
      </c>
      <c r="G8" s="4" t="s">
        <v>34</v>
      </c>
      <c r="H8" s="4" t="s">
        <v>302</v>
      </c>
      <c r="I8" s="4" t="s">
        <v>303</v>
      </c>
      <c r="J8" s="4" t="s">
        <v>304</v>
      </c>
      <c r="K8" s="4">
        <v>5</v>
      </c>
    </row>
    <row r="9" ht="51" spans="1:11">
      <c r="A9" s="4" t="s">
        <v>305</v>
      </c>
      <c r="B9" s="4" t="s">
        <v>276</v>
      </c>
      <c r="C9" s="4" t="s">
        <v>306</v>
      </c>
      <c r="D9" s="4" t="s">
        <v>307</v>
      </c>
      <c r="E9" s="4" t="s">
        <v>33</v>
      </c>
      <c r="F9" s="4" t="s">
        <v>33</v>
      </c>
      <c r="G9" s="4" t="s">
        <v>308</v>
      </c>
      <c r="H9" s="4" t="s">
        <v>309</v>
      </c>
      <c r="I9" s="4" t="s">
        <v>310</v>
      </c>
      <c r="J9" s="4" t="s">
        <v>311</v>
      </c>
      <c r="K9" s="4">
        <v>4</v>
      </c>
    </row>
    <row r="10" ht="51" spans="1:11">
      <c r="A10" s="4" t="s">
        <v>312</v>
      </c>
      <c r="B10" s="4" t="s">
        <v>276</v>
      </c>
      <c r="C10" s="4" t="s">
        <v>313</v>
      </c>
      <c r="D10" s="4" t="s">
        <v>314</v>
      </c>
      <c r="E10" s="4" t="s">
        <v>315</v>
      </c>
      <c r="F10" s="4" t="s">
        <v>33</v>
      </c>
      <c r="G10" s="4" t="s">
        <v>33</v>
      </c>
      <c r="H10" s="4" t="s">
        <v>316</v>
      </c>
      <c r="I10" s="4" t="s">
        <v>317</v>
      </c>
      <c r="J10" s="4" t="s">
        <v>318</v>
      </c>
      <c r="K10" s="4">
        <v>3</v>
      </c>
    </row>
  </sheetData>
  <mergeCells count="2">
    <mergeCell ref="A1:K1"/>
    <mergeCell ref="A2:K2"/>
  </mergeCells>
  <pageMargins left="0.7" right="0.7" top="0.75" bottom="0.75" header="0.3" footer="0.3"/>
  <pageSetup paperSize="77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:E1"/>
    </sheetView>
  </sheetViews>
  <sheetFormatPr defaultColWidth="9" defaultRowHeight="16.8" outlineLevelCol="4"/>
  <cols>
    <col min="1" max="5" width="16" customWidth="1"/>
  </cols>
  <sheetData>
    <row r="1" ht="20.4" spans="1:5">
      <c r="A1" s="1" t="s">
        <v>319</v>
      </c>
    </row>
    <row r="2" spans="1:5">
      <c r="A2" s="2" t="s">
        <v>320</v>
      </c>
    </row>
    <row r="4" ht="17" spans="1:5">
      <c r="A4" s="3" t="s">
        <v>321</v>
      </c>
      <c r="B4" s="3" t="s">
        <v>322</v>
      </c>
      <c r="C4" s="3" t="s">
        <v>323</v>
      </c>
      <c r="D4" s="3" t="s">
        <v>324</v>
      </c>
      <c r="E4" s="3" t="s">
        <v>325</v>
      </c>
    </row>
    <row r="5" ht="51" spans="1:5">
      <c r="A5" s="4" t="s">
        <v>326</v>
      </c>
      <c r="B5" s="4" t="s">
        <v>327</v>
      </c>
      <c r="C5" s="4" t="s">
        <v>240</v>
      </c>
      <c r="D5" s="4" t="s">
        <v>237</v>
      </c>
      <c r="E5" s="4" t="s">
        <v>328</v>
      </c>
    </row>
    <row r="6" ht="34" spans="1:5">
      <c r="A6" s="4" t="s">
        <v>329</v>
      </c>
      <c r="B6" s="4" t="s">
        <v>327</v>
      </c>
      <c r="C6" s="4" t="s">
        <v>330</v>
      </c>
      <c r="D6" s="4" t="s">
        <v>236</v>
      </c>
      <c r="E6" s="4" t="s">
        <v>331</v>
      </c>
    </row>
    <row r="7" ht="84" spans="1:5">
      <c r="A7" s="4" t="s">
        <v>332</v>
      </c>
      <c r="B7" s="4" t="s">
        <v>333</v>
      </c>
      <c r="C7" s="4" t="s">
        <v>240</v>
      </c>
      <c r="D7" s="4" t="s">
        <v>334</v>
      </c>
      <c r="E7" s="4" t="s">
        <v>335</v>
      </c>
    </row>
    <row r="8" ht="84" spans="1:5">
      <c r="A8" s="4" t="s">
        <v>336</v>
      </c>
      <c r="B8" s="4" t="s">
        <v>333</v>
      </c>
      <c r="C8" s="4" t="s">
        <v>240</v>
      </c>
      <c r="D8" s="4" t="s">
        <v>337</v>
      </c>
      <c r="E8" s="4" t="s">
        <v>338</v>
      </c>
    </row>
    <row r="9" ht="34" spans="1:5">
      <c r="A9" s="4" t="s">
        <v>339</v>
      </c>
      <c r="B9" s="4" t="s">
        <v>340</v>
      </c>
      <c r="C9" s="4" t="s">
        <v>240</v>
      </c>
      <c r="D9" s="4" t="s">
        <v>341</v>
      </c>
      <c r="E9" s="4" t="s">
        <v>342</v>
      </c>
    </row>
    <row r="10" ht="51" spans="1:5">
      <c r="A10" s="4" t="s">
        <v>343</v>
      </c>
      <c r="B10" s="4" t="s">
        <v>333</v>
      </c>
      <c r="C10" s="4" t="s">
        <v>240</v>
      </c>
      <c r="D10" s="4" t="s">
        <v>344</v>
      </c>
      <c r="E10" s="4" t="s">
        <v>345</v>
      </c>
    </row>
    <row r="11" ht="34" spans="1:5">
      <c r="A11" s="4" t="s">
        <v>346</v>
      </c>
      <c r="B11" s="4" t="s">
        <v>327</v>
      </c>
      <c r="C11" s="4" t="s">
        <v>240</v>
      </c>
      <c r="D11" s="4" t="s">
        <v>347</v>
      </c>
      <c r="E11" s="4" t="s">
        <v>348</v>
      </c>
    </row>
    <row r="12" ht="51" spans="1:5">
      <c r="A12" s="4" t="s">
        <v>349</v>
      </c>
      <c r="B12" s="4" t="s">
        <v>333</v>
      </c>
      <c r="C12" s="4" t="s">
        <v>240</v>
      </c>
      <c r="D12" s="4" t="s">
        <v>350</v>
      </c>
      <c r="E12" s="4" t="s">
        <v>351</v>
      </c>
    </row>
    <row r="13" ht="34" spans="1:5">
      <c r="A13" s="4" t="s">
        <v>352</v>
      </c>
      <c r="B13" s="4" t="s">
        <v>327</v>
      </c>
      <c r="C13" s="4" t="s">
        <v>240</v>
      </c>
      <c r="D13" s="4" t="s">
        <v>353</v>
      </c>
      <c r="E13" s="4" t="s">
        <v>354</v>
      </c>
    </row>
    <row r="14" ht="51" spans="1:5">
      <c r="A14" s="4" t="s">
        <v>355</v>
      </c>
      <c r="B14" s="4" t="s">
        <v>333</v>
      </c>
      <c r="C14" s="4" t="s">
        <v>240</v>
      </c>
      <c r="D14" s="4" t="s">
        <v>356</v>
      </c>
      <c r="E14" s="4" t="s">
        <v>357</v>
      </c>
    </row>
    <row r="15" ht="34" spans="1:5">
      <c r="A15" s="4" t="s">
        <v>358</v>
      </c>
      <c r="B15" s="4" t="s">
        <v>333</v>
      </c>
      <c r="C15" s="4" t="s">
        <v>330</v>
      </c>
      <c r="D15" s="4" t="s">
        <v>359</v>
      </c>
      <c r="E15" s="4" t="s">
        <v>360</v>
      </c>
    </row>
  </sheetData>
  <mergeCells count="2">
    <mergeCell ref="A1:E1"/>
    <mergeCell ref="A2:E2"/>
  </mergeCells>
  <pageMargins left="0.7" right="0.7" top="0.75" bottom="0.75" header="0.3" footer="0.3"/>
  <pageSetup paperSize="7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6.8" outlineLevelRow="4"/>
  <cols>
    <col min="1" max="1" width="110" customWidth="1"/>
  </cols>
  <sheetData>
    <row r="1" ht="20.4" spans="1:1">
      <c r="A1" s="1" t="s">
        <v>361</v>
      </c>
    </row>
    <row r="2" ht="17" spans="1:1">
      <c r="A2" s="2" t="s">
        <v>362</v>
      </c>
    </row>
    <row r="4" ht="17" spans="1:1">
      <c r="A4" s="3" t="s">
        <v>361</v>
      </c>
    </row>
    <row r="5" ht="219" spans="1:1">
      <c r="A5" s="4" t="s">
        <v>363</v>
      </c>
    </row>
  </sheetData>
  <pageMargins left="0.7" right="0.7" top="0.75" bottom="0.75" header="0.3" footer="0.3"/>
  <pageSetup paperSize="77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40" sqref="D40"/>
    </sheetView>
  </sheetViews>
  <sheetFormatPr defaultColWidth="9" defaultRowHeight="16.8" outlineLevelCol="3"/>
  <cols>
    <col min="1" max="1" width="18" customWidth="1"/>
    <col min="2" max="2" width="12" customWidth="1"/>
    <col min="3" max="4" width="42" customWidth="1"/>
  </cols>
  <sheetData>
    <row r="1" ht="20.4" spans="1:4">
      <c r="A1" s="1" t="s">
        <v>364</v>
      </c>
    </row>
    <row r="2" spans="1:4">
      <c r="A2" s="2" t="s">
        <v>365</v>
      </c>
    </row>
    <row r="4" ht="17" spans="1:4">
      <c r="A4" s="3" t="s">
        <v>366</v>
      </c>
      <c r="B4" s="3" t="s">
        <v>367</v>
      </c>
      <c r="C4" s="3" t="s">
        <v>368</v>
      </c>
      <c r="D4" s="3" t="s">
        <v>369</v>
      </c>
    </row>
    <row r="5" ht="17" spans="1:4">
      <c r="A5" s="4" t="s">
        <v>14</v>
      </c>
      <c r="B5" s="4">
        <v>8</v>
      </c>
      <c r="C5" s="4" t="s">
        <v>370</v>
      </c>
      <c r="D5" s="4" t="s">
        <v>371</v>
      </c>
    </row>
    <row r="6" ht="17" spans="1:4">
      <c r="A6" s="4" t="s">
        <v>103</v>
      </c>
      <c r="B6" s="4">
        <v>6</v>
      </c>
      <c r="C6" s="4" t="s">
        <v>372</v>
      </c>
      <c r="D6" s="4" t="s">
        <v>373</v>
      </c>
    </row>
    <row r="7" ht="17" spans="1:4">
      <c r="A7" s="4" t="s">
        <v>158</v>
      </c>
      <c r="B7" s="4">
        <v>8</v>
      </c>
      <c r="C7" s="4" t="s">
        <v>374</v>
      </c>
      <c r="D7" s="4" t="s">
        <v>375</v>
      </c>
    </row>
    <row r="8" ht="17" spans="1:4">
      <c r="A8" s="4" t="s">
        <v>222</v>
      </c>
      <c r="B8" s="4">
        <v>6</v>
      </c>
      <c r="C8" s="4" t="s">
        <v>376</v>
      </c>
      <c r="D8" s="4" t="s">
        <v>377</v>
      </c>
    </row>
    <row r="9" ht="17" spans="1:4">
      <c r="A9" s="4" t="s">
        <v>269</v>
      </c>
      <c r="B9" s="4">
        <v>6</v>
      </c>
      <c r="C9" s="4" t="s">
        <v>378</v>
      </c>
      <c r="D9" s="4" t="s">
        <v>379</v>
      </c>
    </row>
  </sheetData>
  <mergeCells count="2">
    <mergeCell ref="A1:D1"/>
    <mergeCell ref="A2:D2"/>
  </mergeCells>
  <pageMargins left="0.7" right="0.7" top="0.75" bottom="0.75" header="0.3" footer="0.3"/>
  <pageSetup paperSize="7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知识点库</vt:lpstr>
      <vt:lpstr>题型库</vt:lpstr>
      <vt:lpstr>错因库</vt:lpstr>
      <vt:lpstr>题库样本</vt:lpstr>
      <vt:lpstr>诊断规则库</vt:lpstr>
      <vt:lpstr>AI输出格式</vt:lpstr>
      <vt:lpstr>Prompt模板</vt:lpstr>
      <vt:lpstr>模板总览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于明浩可爱“伦”</cp:lastModifiedBy>
  <dcterms:created xsi:type="dcterms:W3CDTF">2026-07-15T14:39:21Z</dcterms:created>
  <dcterms:modified xsi:type="dcterms:W3CDTF">2026-07-15T14:42:56Z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EC04BC74D3149F54F02B576AD48A6DF1_42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